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לוח בקרה (Dashboard)" sheetId="1" state="visible" r:id="rId1"/>
    <sheet xmlns:r="http://schemas.openxmlformats.org/officeDocument/2006/relationships" name="רשימת סגירות מרחב" sheetId="2" state="visible" r:id="rId2"/>
    <sheet xmlns:r="http://schemas.openxmlformats.org/officeDocument/2006/relationships" name="הגדרות ומפתחו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6">
    <font>
      <name val="Calibri"/>
      <family val="2"/>
      <color theme="1"/>
      <sz val="11"/>
      <scheme val="minor"/>
    </font>
    <font>
      <name val="Segoe UI"/>
      <b val="1"/>
      <sz val="11"/>
    </font>
    <font>
      <name val="Segoe UI"/>
      <b val="1"/>
      <color rgb="001F4E79"/>
      <sz val="14"/>
    </font>
    <font>
      <name val="Segoe UI"/>
      <b val="1"/>
      <color rgb="00FFFFFF"/>
      <sz val="11"/>
    </font>
    <font>
      <name val="Segoe UI"/>
      <sz val="11"/>
    </font>
    <font>
      <name val="Segoe UI"/>
      <b val="1"/>
      <color rgb="00FFFFFF"/>
      <sz val="16"/>
    </font>
  </fonts>
  <fills count="7">
    <fill>
      <patternFill/>
    </fill>
    <fill>
      <patternFill patternType="gray125"/>
    </fill>
    <fill>
      <patternFill patternType="solid">
        <fgColor rgb="00EAEAEA"/>
        <bgColor rgb="00EAEAEA"/>
      </patternFill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5F8"/>
        <bgColor rgb="00F2F5F8"/>
      </patternFill>
    </fill>
    <fill>
      <patternFill patternType="solid">
        <fgColor rgb="005B9BD5"/>
        <bgColor rgb="005B9BD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5" borderId="1" applyAlignment="1" pivotButton="0" quotePrefix="0" xfId="0">
      <alignment horizontal="right" vertical="center"/>
    </xf>
    <xf numFmtId="3" fontId="1" fillId="0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right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1"/>
  <sheetViews>
    <sheetView showGridLines="1" rightToLeft="1" workbookViewId="0">
      <selection activeCell="A1" sqref="A1"/>
    </sheetView>
  </sheetViews>
  <sheetFormatPr baseColWidth="8" defaultRowHeight="15"/>
  <cols>
    <col width="25" customWidth="1" min="2" max="2"/>
    <col width="15" customWidth="1" min="3" max="3"/>
    <col width="25" customWidth="1" min="5" max="5"/>
    <col width="15" customWidth="1" min="6" max="6"/>
  </cols>
  <sheetData>
    <row r="2">
      <c r="B2" s="1" t="inlineStr">
        <is>
          <t>לוח בקרה - סיכום סגירות מרחב אווירי צבאי</t>
        </is>
      </c>
    </row>
    <row r="3"/>
    <row r="5">
      <c r="B5" s="2" t="inlineStr">
        <is>
          <t>סה"כ סגירות במערכת</t>
        </is>
      </c>
      <c r="C5" s="3">
        <f>COUNTA('רשימת סגירות מרחב'!A5:A44)</f>
        <v/>
      </c>
      <c r="E5" s="4" t="inlineStr">
        <is>
          <t>התפלגות לפי קטגוריה</t>
        </is>
      </c>
      <c r="F5" s="4" t="inlineStr">
        <is>
          <t>כמות</t>
        </is>
      </c>
    </row>
    <row r="6">
      <c r="B6" s="2" t="inlineStr">
        <is>
          <t>סגירות פעילות (בשימוש)</t>
        </is>
      </c>
      <c r="C6" s="3">
        <f>COUNTIF('רשימת סגירות מרחב'!J5:J44, "כן")</f>
        <v/>
      </c>
      <c r="E6" s="5" t="inlineStr">
        <is>
          <t>אזור קרב- אימונים</t>
        </is>
      </c>
      <c r="F6" s="6">
        <f>COUNTIF('רשימת סגירות מרחב'!B$5:B$44, "אזור קרב- אימונים")</f>
        <v/>
      </c>
    </row>
    <row r="7">
      <c r="B7" s="2" t="inlineStr">
        <is>
          <t>סגירות בסטטוס מאושר</t>
        </is>
      </c>
      <c r="C7" s="3">
        <f>COUNTIF('רשימת סגירות מרחב'!I5:I44, "מאושרת")</f>
        <v/>
      </c>
      <c r="E7" s="5" t="inlineStr">
        <is>
          <t>אזור קרב- לחימה</t>
        </is>
      </c>
      <c r="F7" s="6">
        <f>COUNTIF('רשימת סגירות מרחב'!B$5:B$44, "אזור קרב- לחימה")</f>
        <v/>
      </c>
    </row>
    <row r="8">
      <c r="B8" s="2" t="inlineStr">
        <is>
          <t>סגירות לחימה פעילות</t>
        </is>
      </c>
      <c r="C8" s="3">
        <f>COUNTIFS('רשימת סגירות מרחב'!B5:B44, "אזור קרב- לחימה", 'רשימת סגירות מרחב'!J5:J44, "כן")</f>
        <v/>
      </c>
      <c r="E8" s="5" t="inlineStr">
        <is>
          <t>מטווח</t>
        </is>
      </c>
      <c r="F8" s="6">
        <f>COUNTIF('רשימת סגירות מרחב'!B$5:B$44, "מטווח")</f>
        <v/>
      </c>
    </row>
    <row r="9">
      <c r="E9" s="5" t="inlineStr">
        <is>
          <t>אזור עפרוני</t>
        </is>
      </c>
      <c r="F9" s="6">
        <f>COUNTIF('רשימת סגירות מרחב'!B$5:B$44, "אזור עפרוני")</f>
        <v/>
      </c>
    </row>
    <row r="10">
      <c r="E10" s="5" t="inlineStr">
        <is>
          <t>כטמ''מ</t>
        </is>
      </c>
      <c r="F10" s="6">
        <f>COUNTIF('רשימת סגירות מרחב'!B$5:B$44, "כטמ''מ")</f>
        <v/>
      </c>
    </row>
    <row r="11">
      <c r="E11" s="5" t="inlineStr">
        <is>
          <t>גלילי הצנחה</t>
        </is>
      </c>
      <c r="F11" s="6">
        <f>COUNTIF('רשימת סגירות מרחב'!B$5:B$44, "גלילי הצנחה")</f>
        <v/>
      </c>
    </row>
  </sheetData>
  <mergeCells count="1">
    <mergeCell ref="B2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"/>
  <sheetViews>
    <sheetView showGridLines="1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1" customWidth="1" min="1" max="1"/>
    <col width="21" customWidth="1" min="2" max="2"/>
    <col width="12" customWidth="1" min="3" max="3"/>
    <col width="22" customWidth="1" min="4" max="4"/>
    <col width="22" customWidth="1" min="5" max="5"/>
    <col width="14" customWidth="1" min="6" max="6"/>
    <col width="13" customWidth="1" min="7" max="7"/>
    <col width="12" customWidth="1" min="8" max="8"/>
    <col width="17" customWidth="1" min="9" max="9"/>
    <col width="12" customWidth="1" min="10" max="10"/>
    <col width="45" customWidth="1" min="11" max="11"/>
  </cols>
  <sheetData>
    <row r="1"/>
    <row r="2">
      <c r="A2" s="7" t="inlineStr">
        <is>
          <t>מערכת לניהול ורישום סגירות מרחב אווירי - אזורי קרב וכטמ"מ</t>
        </is>
      </c>
    </row>
    <row r="3"/>
    <row r="4">
      <c r="A4" s="8" t="inlineStr">
        <is>
          <t>שם סגירה</t>
        </is>
      </c>
      <c r="B4" s="8" t="inlineStr">
        <is>
          <t>קטגוריה</t>
        </is>
      </c>
      <c r="C4" s="8" t="inlineStr">
        <is>
          <t>צבע</t>
        </is>
      </c>
      <c r="D4" s="8" t="inlineStr">
        <is>
          <t>גובה מינימלי (רגל)</t>
        </is>
      </c>
      <c r="E4" s="8" t="inlineStr">
        <is>
          <t>גובה מקסימלי (רגל)</t>
        </is>
      </c>
      <c r="F4" s="8" t="inlineStr">
        <is>
          <t>תאריך ערך</t>
        </is>
      </c>
      <c r="G4" s="8" t="inlineStr">
        <is>
          <t>זמן התחלה</t>
        </is>
      </c>
      <c r="H4" s="8" t="inlineStr">
        <is>
          <t>זמן סיום</t>
        </is>
      </c>
      <c r="I4" s="8" t="inlineStr">
        <is>
          <t>סטטוס סגירה</t>
        </is>
      </c>
      <c r="J4" s="8" t="inlineStr">
        <is>
          <t>בשימוש</t>
        </is>
      </c>
      <c r="K4" s="8" t="inlineStr">
        <is>
          <t>נ"צ פוליגון הסגירה</t>
        </is>
      </c>
    </row>
    <row r="5">
      <c r="A5" s="9" t="inlineStr">
        <is>
          <t>סגירת ערבה 90</t>
        </is>
      </c>
      <c r="B5" s="9" t="inlineStr">
        <is>
          <t>כטמ''מ</t>
        </is>
      </c>
      <c r="C5" s="9" t="inlineStr">
        <is>
          <t>סגול</t>
        </is>
      </c>
      <c r="D5" s="10" t="n">
        <v>1500</v>
      </c>
      <c r="E5" s="10" t="n">
        <v>50000</v>
      </c>
      <c r="F5" s="11" t="n">
        <v>46191</v>
      </c>
      <c r="G5" s="12" t="n">
        <v>0.625</v>
      </c>
      <c r="H5" s="12" t="n">
        <v>0.75</v>
      </c>
      <c r="I5" s="9" t="inlineStr">
        <is>
          <t>ממתינה לאישור</t>
        </is>
      </c>
      <c r="J5" s="9" t="inlineStr">
        <is>
          <t>כן</t>
        </is>
      </c>
      <c r="K5" s="13" t="inlineStr">
        <is>
          <t>3110N/03430E - 3120N/03430E - 3120N/03440E - 3110N/03440E</t>
        </is>
      </c>
    </row>
    <row r="6">
      <c r="A6" s="14" t="inlineStr">
        <is>
          <t>סגירת חלוצה 20</t>
        </is>
      </c>
      <c r="B6" s="14" t="inlineStr">
        <is>
          <t>כטמ''מ</t>
        </is>
      </c>
      <c r="C6" s="14" t="inlineStr">
        <is>
          <t>אדום</t>
        </is>
      </c>
      <c r="D6" s="15" t="n">
        <v>2500</v>
      </c>
      <c r="E6" s="15" t="n">
        <v>12000</v>
      </c>
      <c r="F6" s="16" t="n">
        <v>46190</v>
      </c>
      <c r="G6" s="17" t="n">
        <v>0.5</v>
      </c>
      <c r="H6" s="17" t="n">
        <v>0.5833333333333334</v>
      </c>
      <c r="I6" s="14" t="inlineStr">
        <is>
          <t>מתואמת</t>
        </is>
      </c>
      <c r="J6" s="14" t="inlineStr">
        <is>
          <t>כן</t>
        </is>
      </c>
      <c r="K6" s="18" t="inlineStr">
        <is>
          <t>3130N/03440E - 3140N/03440E - 3140N/03450E - 3130N/03450E</t>
        </is>
      </c>
    </row>
    <row r="7">
      <c r="A7" s="9" t="inlineStr">
        <is>
          <t>סגירת דקלה 98</t>
        </is>
      </c>
      <c r="B7" s="9" t="inlineStr">
        <is>
          <t>אזור קרב- לחימה</t>
        </is>
      </c>
      <c r="C7" s="9" t="inlineStr">
        <is>
          <t>צהוב</t>
        </is>
      </c>
      <c r="D7" s="10" t="n">
        <v>2500</v>
      </c>
      <c r="E7" s="10" t="n">
        <v>12000</v>
      </c>
      <c r="F7" s="11" t="n">
        <v>46192</v>
      </c>
      <c r="G7" s="12" t="n">
        <v>0.5416666666666666</v>
      </c>
      <c r="H7" s="12" t="n">
        <v>0.625</v>
      </c>
      <c r="I7" s="9" t="inlineStr">
        <is>
          <t>מתואמת</t>
        </is>
      </c>
      <c r="J7" s="9" t="inlineStr">
        <is>
          <t>לא</t>
        </is>
      </c>
      <c r="K7" s="13" t="inlineStr">
        <is>
          <t>3200N/03450E - 3210N/03450E - 3210N/03500E - 3200N/03500E</t>
        </is>
      </c>
    </row>
    <row r="8">
      <c r="A8" s="14" t="inlineStr">
        <is>
          <t>סגירת נגב מורחב 43</t>
        </is>
      </c>
      <c r="B8" s="14" t="inlineStr">
        <is>
          <t>אזור קרב- לחימה</t>
        </is>
      </c>
      <c r="C8" s="14" t="inlineStr">
        <is>
          <t>כחול</t>
        </is>
      </c>
      <c r="D8" s="15" t="n">
        <v>500</v>
      </c>
      <c r="E8" s="15" t="n">
        <v>12000</v>
      </c>
      <c r="F8" s="16" t="n">
        <v>46189</v>
      </c>
      <c r="G8" s="17" t="n">
        <v>0.2916666666666667</v>
      </c>
      <c r="H8" s="17" t="n">
        <v>0.5</v>
      </c>
      <c r="I8" s="14" t="inlineStr">
        <is>
          <t>מתואמת</t>
        </is>
      </c>
      <c r="J8" s="14" t="inlineStr">
        <is>
          <t>כן</t>
        </is>
      </c>
      <c r="K8" s="18" t="inlineStr">
        <is>
          <t>3241N/03510E - 3250N/03510E - 3250N/03520E - 3241N/03520E</t>
        </is>
      </c>
    </row>
    <row r="9">
      <c r="A9" s="9" t="inlineStr">
        <is>
          <t>סגירת שיפון 79</t>
        </is>
      </c>
      <c r="B9" s="9" t="inlineStr">
        <is>
          <t>גלילי הצנחה</t>
        </is>
      </c>
      <c r="C9" s="9" t="inlineStr">
        <is>
          <t>ירוק</t>
        </is>
      </c>
      <c r="D9" s="10" t="n">
        <v>5000</v>
      </c>
      <c r="E9" s="10" t="n">
        <v>50000</v>
      </c>
      <c r="F9" s="11" t="n">
        <v>46190</v>
      </c>
      <c r="G9" s="12" t="n">
        <v>0.6666666666666666</v>
      </c>
      <c r="H9" s="12" t="n">
        <v>0.9166666666666666</v>
      </c>
      <c r="I9" s="9" t="inlineStr">
        <is>
          <t>בוטלה</t>
        </is>
      </c>
      <c r="J9" s="9" t="inlineStr">
        <is>
          <t>לא</t>
        </is>
      </c>
      <c r="K9" s="13" t="inlineStr">
        <is>
          <t>3030N/03440E - 3040N/03440E - 3040N/03450E - 3030N/03450E</t>
        </is>
      </c>
    </row>
    <row r="10">
      <c r="A10" s="14" t="inlineStr">
        <is>
          <t>סגירת רמון 91</t>
        </is>
      </c>
      <c r="B10" s="14" t="inlineStr">
        <is>
          <t>מטווח</t>
        </is>
      </c>
      <c r="C10" s="14" t="inlineStr">
        <is>
          <t>כחול</t>
        </is>
      </c>
      <c r="D10" s="15" t="n">
        <v>0</v>
      </c>
      <c r="E10" s="15" t="n">
        <v>16000</v>
      </c>
      <c r="F10" s="16" t="n">
        <v>46192</v>
      </c>
      <c r="G10" s="17" t="n">
        <v>0.5833333333333334</v>
      </c>
      <c r="H10" s="17" t="n">
        <v>0.8333333333333334</v>
      </c>
      <c r="I10" s="14" t="inlineStr">
        <is>
          <t>ממתינה לאישור</t>
        </is>
      </c>
      <c r="J10" s="14" t="inlineStr">
        <is>
          <t>כן</t>
        </is>
      </c>
      <c r="K10" s="18" t="inlineStr">
        <is>
          <t>2940N/03450E - 2950N/03450E - 2950N/03500E - 2940N/03500E</t>
        </is>
      </c>
    </row>
    <row r="11">
      <c r="A11" s="9" t="inlineStr">
        <is>
          <t>סגירת פארן 23</t>
        </is>
      </c>
      <c r="B11" s="9" t="inlineStr">
        <is>
          <t>גלילי הצנחה</t>
        </is>
      </c>
      <c r="C11" s="9" t="inlineStr">
        <is>
          <t>סגול</t>
        </is>
      </c>
      <c r="D11" s="10" t="n">
        <v>1500</v>
      </c>
      <c r="E11" s="10" t="n">
        <v>21000</v>
      </c>
      <c r="F11" s="11" t="n">
        <v>46190</v>
      </c>
      <c r="G11" s="12" t="n">
        <v>0.4166666666666667</v>
      </c>
      <c r="H11" s="12" t="n">
        <v>0.5416666666666666</v>
      </c>
      <c r="I11" s="9" t="inlineStr">
        <is>
          <t>ממתינה לאישור</t>
        </is>
      </c>
      <c r="J11" s="9" t="inlineStr">
        <is>
          <t>לא</t>
        </is>
      </c>
      <c r="K11" s="13" t="inlineStr">
        <is>
          <t>3150N/03432E - 3200N/03432E - 3200N/03440E - 3150N/03440E</t>
        </is>
      </c>
    </row>
    <row r="12">
      <c r="A12" s="14" t="inlineStr">
        <is>
          <t>סגירת ציחור 30</t>
        </is>
      </c>
      <c r="B12" s="14" t="inlineStr">
        <is>
          <t>אזור קרב- אימונים</t>
        </is>
      </c>
      <c r="C12" s="14" t="inlineStr">
        <is>
          <t>כחול</t>
        </is>
      </c>
      <c r="D12" s="15" t="n">
        <v>2500</v>
      </c>
      <c r="E12" s="15" t="n">
        <v>21000</v>
      </c>
      <c r="F12" s="16" t="n">
        <v>46192</v>
      </c>
      <c r="G12" s="17" t="n">
        <v>0.625</v>
      </c>
      <c r="H12" s="17" t="n">
        <v>0.875</v>
      </c>
      <c r="I12" s="14" t="inlineStr">
        <is>
          <t>ממתינה לאישור</t>
        </is>
      </c>
      <c r="J12" s="14" t="inlineStr">
        <is>
          <t>כן</t>
        </is>
      </c>
      <c r="K12" s="18" t="inlineStr">
        <is>
          <t>3220N/03450E - 3230N/03450E - 3230N/03500E - 3220N/03500E</t>
        </is>
      </c>
    </row>
    <row r="13">
      <c r="A13" s="9" t="inlineStr">
        <is>
          <t>סגירת נחל 93</t>
        </is>
      </c>
      <c r="B13" s="9" t="inlineStr">
        <is>
          <t>אזור קרב- לחימה</t>
        </is>
      </c>
      <c r="C13" s="9" t="inlineStr">
        <is>
          <t>כחול</t>
        </is>
      </c>
      <c r="D13" s="10" t="n">
        <v>1500</v>
      </c>
      <c r="E13" s="10" t="n">
        <v>8000</v>
      </c>
      <c r="F13" s="11" t="n">
        <v>46188</v>
      </c>
      <c r="G13" s="12" t="n">
        <v>0.2916666666666667</v>
      </c>
      <c r="H13" s="12" t="n">
        <v>0.4583333333333333</v>
      </c>
      <c r="I13" s="9" t="inlineStr">
        <is>
          <t>מתואמת</t>
        </is>
      </c>
      <c r="J13" s="9" t="inlineStr">
        <is>
          <t>לא</t>
        </is>
      </c>
      <c r="K13" s="13" t="inlineStr">
        <is>
          <t>3112N/03430E - 3120N/03430E - 3120N/03440E - 3112N/03440E</t>
        </is>
      </c>
    </row>
    <row r="14">
      <c r="A14" s="14" t="inlineStr">
        <is>
          <t>סגירת חלוקים 15</t>
        </is>
      </c>
      <c r="B14" s="14" t="inlineStr">
        <is>
          <t>גלילי הצנחה</t>
        </is>
      </c>
      <c r="C14" s="14" t="inlineStr">
        <is>
          <t>אדום</t>
        </is>
      </c>
      <c r="D14" s="15" t="n">
        <v>5000</v>
      </c>
      <c r="E14" s="15" t="n">
        <v>21000</v>
      </c>
      <c r="F14" s="16" t="n">
        <v>46192</v>
      </c>
      <c r="G14" s="17" t="n">
        <v>0.4583333333333333</v>
      </c>
      <c r="H14" s="17" t="n">
        <v>0.5833333333333334</v>
      </c>
      <c r="I14" s="14" t="inlineStr">
        <is>
          <t>מתואמת</t>
        </is>
      </c>
      <c r="J14" s="14" t="inlineStr">
        <is>
          <t>לא</t>
        </is>
      </c>
      <c r="K14" s="18" t="inlineStr">
        <is>
          <t>3130N/03440E - 3140N/03440E - 3140N/03450E - 3130N/03450E</t>
        </is>
      </c>
    </row>
    <row r="15">
      <c r="A15" s="9" t="inlineStr">
        <is>
          <t>סגירת גוב 66</t>
        </is>
      </c>
      <c r="B15" s="9" t="inlineStr">
        <is>
          <t>כטמ''מ</t>
        </is>
      </c>
      <c r="C15" s="9" t="inlineStr">
        <is>
          <t>כתום</t>
        </is>
      </c>
      <c r="D15" s="10" t="n">
        <v>1500</v>
      </c>
      <c r="E15" s="10" t="n">
        <v>21000</v>
      </c>
      <c r="F15" s="11" t="n">
        <v>46192</v>
      </c>
      <c r="G15" s="12" t="n">
        <v>0.2916666666666667</v>
      </c>
      <c r="H15" s="12" t="n">
        <v>0.4583333333333333</v>
      </c>
      <c r="I15" s="9" t="inlineStr">
        <is>
          <t>ממתינה לאישור</t>
        </is>
      </c>
      <c r="J15" s="9" t="inlineStr">
        <is>
          <t>לא</t>
        </is>
      </c>
      <c r="K15" s="13" t="inlineStr">
        <is>
          <t>3200N/03450E - 3210N/03450E - 3210N/03500E - 3200N/03500E</t>
        </is>
      </c>
    </row>
    <row r="16">
      <c r="A16" s="14" t="inlineStr">
        <is>
          <t>סגירת קדם 51</t>
        </is>
      </c>
      <c r="B16" s="14" t="inlineStr">
        <is>
          <t>אזור קרב- אימונים</t>
        </is>
      </c>
      <c r="C16" s="14" t="inlineStr">
        <is>
          <t>כתום</t>
        </is>
      </c>
      <c r="D16" s="15" t="n">
        <v>500</v>
      </c>
      <c r="E16" s="15" t="n">
        <v>8000</v>
      </c>
      <c r="F16" s="16" t="n">
        <v>46192</v>
      </c>
      <c r="G16" s="17" t="n">
        <v>0.5416666666666666</v>
      </c>
      <c r="H16" s="17" t="n">
        <v>0.625</v>
      </c>
      <c r="I16" s="14" t="inlineStr">
        <is>
          <t>בוטלה</t>
        </is>
      </c>
      <c r="J16" s="14" t="inlineStr">
        <is>
          <t>כן</t>
        </is>
      </c>
      <c r="K16" s="18" t="inlineStr">
        <is>
          <t>3241N/03510E - 3250N/03510E - 3250N/03520E - 3241N/03520E</t>
        </is>
      </c>
    </row>
    <row r="17">
      <c r="A17" s="9" t="inlineStr">
        <is>
          <t>סגירת אדום 29</t>
        </is>
      </c>
      <c r="B17" s="9" t="inlineStr">
        <is>
          <t>כטמ''מ</t>
        </is>
      </c>
      <c r="C17" s="9" t="inlineStr">
        <is>
          <t>כחול</t>
        </is>
      </c>
      <c r="D17" s="10" t="n">
        <v>5000</v>
      </c>
      <c r="E17" s="10" t="n">
        <v>29000</v>
      </c>
      <c r="F17" s="11" t="n">
        <v>46191</v>
      </c>
      <c r="G17" s="12" t="n">
        <v>0.5416666666666666</v>
      </c>
      <c r="H17" s="12" t="n">
        <v>0.6666666666666666</v>
      </c>
      <c r="I17" s="9" t="inlineStr">
        <is>
          <t>בוטלה</t>
        </is>
      </c>
      <c r="J17" s="9" t="inlineStr">
        <is>
          <t>לא</t>
        </is>
      </c>
      <c r="K17" s="13" t="inlineStr">
        <is>
          <t>3030N/03440E - 3040N/03440E - 3040N/03450E - 3030N/03450E</t>
        </is>
      </c>
    </row>
    <row r="18">
      <c r="A18" s="14" t="inlineStr">
        <is>
          <t>סגירת צאלים 30</t>
        </is>
      </c>
      <c r="B18" s="14" t="inlineStr">
        <is>
          <t>אזור קרב- אימונים</t>
        </is>
      </c>
      <c r="C18" s="14" t="inlineStr">
        <is>
          <t>כחול</t>
        </is>
      </c>
      <c r="D18" s="15" t="n">
        <v>5000</v>
      </c>
      <c r="E18" s="15" t="n">
        <v>16000</v>
      </c>
      <c r="F18" s="16" t="n">
        <v>46188</v>
      </c>
      <c r="G18" s="17" t="n">
        <v>0.5416666666666666</v>
      </c>
      <c r="H18" s="17" t="n">
        <v>0.7083333333333334</v>
      </c>
      <c r="I18" s="14" t="inlineStr">
        <is>
          <t>בוטלה</t>
        </is>
      </c>
      <c r="J18" s="14" t="inlineStr">
        <is>
          <t>כן</t>
        </is>
      </c>
      <c r="K18" s="18" t="inlineStr">
        <is>
          <t>2940N/03450E - 2950N/03450E - 2950N/03500E - 2940N/03500E</t>
        </is>
      </c>
    </row>
    <row r="19">
      <c r="A19" s="9" t="inlineStr">
        <is>
          <t>סגירת שורק 79</t>
        </is>
      </c>
      <c r="B19" s="9" t="inlineStr">
        <is>
          <t>אזור קרב- אימונים</t>
        </is>
      </c>
      <c r="C19" s="9" t="inlineStr">
        <is>
          <t>אדום</t>
        </is>
      </c>
      <c r="D19" s="10" t="n">
        <v>1500</v>
      </c>
      <c r="E19" s="10" t="n">
        <v>8000</v>
      </c>
      <c r="F19" s="11" t="n">
        <v>46191</v>
      </c>
      <c r="G19" s="12" t="n">
        <v>0.625</v>
      </c>
      <c r="H19" s="12" t="n">
        <v>0.75</v>
      </c>
      <c r="I19" s="9" t="inlineStr">
        <is>
          <t>בוטלה</t>
        </is>
      </c>
      <c r="J19" s="9" t="inlineStr">
        <is>
          <t>לא</t>
        </is>
      </c>
      <c r="K19" s="13" t="inlineStr">
        <is>
          <t>3150N/03432E - 3200N/03432E - 3200N/03440E - 3150N/03440E</t>
        </is>
      </c>
    </row>
    <row r="20">
      <c r="A20" s="14" t="inlineStr">
        <is>
          <t>סגירת לכיש 12</t>
        </is>
      </c>
      <c r="B20" s="14" t="inlineStr">
        <is>
          <t>אזור קרב- לחימה</t>
        </is>
      </c>
      <c r="C20" s="14" t="inlineStr">
        <is>
          <t>כתום</t>
        </is>
      </c>
      <c r="D20" s="15" t="n">
        <v>5000</v>
      </c>
      <c r="E20" s="15" t="n">
        <v>29000</v>
      </c>
      <c r="F20" s="16" t="n">
        <v>46193</v>
      </c>
      <c r="G20" s="17" t="n">
        <v>0.625</v>
      </c>
      <c r="H20" s="17" t="n">
        <v>0.8333333333333334</v>
      </c>
      <c r="I20" s="14" t="inlineStr">
        <is>
          <t>בוטלה</t>
        </is>
      </c>
      <c r="J20" s="14" t="inlineStr">
        <is>
          <t>כן</t>
        </is>
      </c>
      <c r="K20" s="18" t="inlineStr">
        <is>
          <t>3220N/03450E - 3230N/03450E - 3230N/03500E - 3220N/03500E</t>
        </is>
      </c>
    </row>
    <row r="21">
      <c r="A21" s="9" t="inlineStr">
        <is>
          <t>סגירת פלמחים 23</t>
        </is>
      </c>
      <c r="B21" s="9" t="inlineStr">
        <is>
          <t>כטמ''מ</t>
        </is>
      </c>
      <c r="C21" s="9" t="inlineStr">
        <is>
          <t>כתום</t>
        </is>
      </c>
      <c r="D21" s="10" t="n">
        <v>1500</v>
      </c>
      <c r="E21" s="10" t="n">
        <v>21000</v>
      </c>
      <c r="F21" s="11" t="n">
        <v>46191</v>
      </c>
      <c r="G21" s="12" t="n">
        <v>0.25</v>
      </c>
      <c r="H21" s="12" t="n">
        <v>0.375</v>
      </c>
      <c r="I21" s="9" t="inlineStr">
        <is>
          <t>מתואמת</t>
        </is>
      </c>
      <c r="J21" s="9" t="inlineStr">
        <is>
          <t>לא</t>
        </is>
      </c>
      <c r="K21" s="13" t="inlineStr">
        <is>
          <t>3111N/03430E - 3120N/03430E - 3120N/03440E - 3111N/03440E</t>
        </is>
      </c>
    </row>
    <row r="22">
      <c r="A22" s="14" t="inlineStr">
        <is>
          <t>סגירת נתניה 60</t>
        </is>
      </c>
      <c r="B22" s="14" t="inlineStr">
        <is>
          <t>אזור עפרוני</t>
        </is>
      </c>
      <c r="C22" s="14" t="inlineStr">
        <is>
          <t>כתום</t>
        </is>
      </c>
      <c r="D22" s="15" t="n">
        <v>0</v>
      </c>
      <c r="E22" s="15" t="n">
        <v>8000</v>
      </c>
      <c r="F22" s="16" t="n">
        <v>46193</v>
      </c>
      <c r="G22" s="17" t="n">
        <v>0.625</v>
      </c>
      <c r="H22" s="17" t="n">
        <v>0.875</v>
      </c>
      <c r="I22" s="14" t="inlineStr">
        <is>
          <t>מתואמת</t>
        </is>
      </c>
      <c r="J22" s="14" t="inlineStr">
        <is>
          <t>לא</t>
        </is>
      </c>
      <c r="K22" s="18" t="inlineStr">
        <is>
          <t>3130N/03440E - 3140N/03440E - 3140N/03450E - 3130N/03450E</t>
        </is>
      </c>
    </row>
    <row r="23">
      <c r="A23" s="9" t="inlineStr">
        <is>
          <t>סגירת חדרה 67</t>
        </is>
      </c>
      <c r="B23" s="9" t="inlineStr">
        <is>
          <t>מטווח</t>
        </is>
      </c>
      <c r="C23" s="9" t="inlineStr">
        <is>
          <t>צהוב</t>
        </is>
      </c>
      <c r="D23" s="10" t="n">
        <v>0</v>
      </c>
      <c r="E23" s="10" t="n">
        <v>8000</v>
      </c>
      <c r="F23" s="11" t="n">
        <v>46191</v>
      </c>
      <c r="G23" s="12" t="n">
        <v>0.4166666666666667</v>
      </c>
      <c r="H23" s="12" t="n">
        <v>0.5833333333333334</v>
      </c>
      <c r="I23" s="9" t="inlineStr">
        <is>
          <t>מאושרת</t>
        </is>
      </c>
      <c r="J23" s="9" t="inlineStr">
        <is>
          <t>לא</t>
        </is>
      </c>
      <c r="K23" s="13" t="inlineStr">
        <is>
          <t>3200N/03450E - 3210N/03450E - 3210N/03500E - 3200N/03500E</t>
        </is>
      </c>
    </row>
    <row r="24">
      <c r="A24" s="14" t="inlineStr">
        <is>
          <t>סגירת עתלית 54</t>
        </is>
      </c>
      <c r="B24" s="14" t="inlineStr">
        <is>
          <t>כטמ''מ</t>
        </is>
      </c>
      <c r="C24" s="14" t="inlineStr">
        <is>
          <t>ירוק</t>
        </is>
      </c>
      <c r="D24" s="15" t="n">
        <v>5000</v>
      </c>
      <c r="E24" s="15" t="n">
        <v>29000</v>
      </c>
      <c r="F24" s="16" t="n">
        <v>46192</v>
      </c>
      <c r="G24" s="17" t="n">
        <v>0.5416666666666666</v>
      </c>
      <c r="H24" s="17" t="n">
        <v>0.6666666666666666</v>
      </c>
      <c r="I24" s="14" t="inlineStr">
        <is>
          <t>ממתינה לאישור</t>
        </is>
      </c>
      <c r="J24" s="14" t="inlineStr">
        <is>
          <t>כן</t>
        </is>
      </c>
      <c r="K24" s="18" t="inlineStr">
        <is>
          <t>3241N/03510E - 3250N/03510E - 3250N/03520E - 3241N/03520E</t>
        </is>
      </c>
    </row>
    <row r="25">
      <c r="A25" s="9" t="inlineStr">
        <is>
          <t>סגירת חיפה 43</t>
        </is>
      </c>
      <c r="B25" s="9" t="inlineStr">
        <is>
          <t>מטווח</t>
        </is>
      </c>
      <c r="C25" s="9" t="inlineStr">
        <is>
          <t>כחול</t>
        </is>
      </c>
      <c r="D25" s="10" t="n">
        <v>1500</v>
      </c>
      <c r="E25" s="10" t="n">
        <v>16000</v>
      </c>
      <c r="F25" s="11" t="n">
        <v>46193</v>
      </c>
      <c r="G25" s="12" t="n">
        <v>0.4166666666666667</v>
      </c>
      <c r="H25" s="12" t="n">
        <v>0.5833333333333334</v>
      </c>
      <c r="I25" s="9" t="inlineStr">
        <is>
          <t>בוטלה</t>
        </is>
      </c>
      <c r="J25" s="9" t="inlineStr">
        <is>
          <t>לא</t>
        </is>
      </c>
      <c r="K25" s="13" t="inlineStr">
        <is>
          <t>3030N/03440E - 3040N/03440E - 3040N/03450E - 3030N/03450E</t>
        </is>
      </c>
    </row>
    <row r="26">
      <c r="A26" s="14" t="inlineStr">
        <is>
          <t>סגירת קישון 56</t>
        </is>
      </c>
      <c r="B26" s="14" t="inlineStr">
        <is>
          <t>מטווח</t>
        </is>
      </c>
      <c r="C26" s="14" t="inlineStr">
        <is>
          <t>אדום</t>
        </is>
      </c>
      <c r="D26" s="15" t="n">
        <v>1500</v>
      </c>
      <c r="E26" s="15" t="n">
        <v>21000</v>
      </c>
      <c r="F26" s="16" t="n">
        <v>46193</v>
      </c>
      <c r="G26" s="17" t="n">
        <v>0.3333333333333333</v>
      </c>
      <c r="H26" s="17" t="n">
        <v>0.5416666666666666</v>
      </c>
      <c r="I26" s="14" t="inlineStr">
        <is>
          <t>בוטלה</t>
        </is>
      </c>
      <c r="J26" s="14" t="inlineStr">
        <is>
          <t>כן</t>
        </is>
      </c>
      <c r="K26" s="18" t="inlineStr">
        <is>
          <t>2940N/03450E - 2950N/03450E - 2950N/03500E - 2940N/03500E</t>
        </is>
      </c>
    </row>
    <row r="27">
      <c r="A27" s="9" t="inlineStr">
        <is>
          <t>סגירת עמק 52</t>
        </is>
      </c>
      <c r="B27" s="9" t="inlineStr">
        <is>
          <t>אזור קרב- אימונים</t>
        </is>
      </c>
      <c r="C27" s="9" t="inlineStr">
        <is>
          <t>סגול</t>
        </is>
      </c>
      <c r="D27" s="10" t="n">
        <v>0</v>
      </c>
      <c r="E27" s="10" t="n">
        <v>29000</v>
      </c>
      <c r="F27" s="11" t="n">
        <v>46189</v>
      </c>
      <c r="G27" s="12" t="n">
        <v>0.375</v>
      </c>
      <c r="H27" s="12" t="n">
        <v>0.4583333333333333</v>
      </c>
      <c r="I27" s="9" t="inlineStr">
        <is>
          <t>ממתינה לאישור</t>
        </is>
      </c>
      <c r="J27" s="9" t="inlineStr">
        <is>
          <t>לא</t>
        </is>
      </c>
      <c r="K27" s="13" t="inlineStr">
        <is>
          <t>3150N/03432E - 3200N/03432E - 3200N/03440E - 3150N/03440E</t>
        </is>
      </c>
    </row>
    <row r="28">
      <c r="A28" s="14" t="inlineStr">
        <is>
          <t>סגירת מגידו 95</t>
        </is>
      </c>
      <c r="B28" s="14" t="inlineStr">
        <is>
          <t>אזור קרב- לחימה</t>
        </is>
      </c>
      <c r="C28" s="14" t="inlineStr">
        <is>
          <t>ירוק</t>
        </is>
      </c>
      <c r="D28" s="15" t="n">
        <v>0</v>
      </c>
      <c r="E28" s="15" t="n">
        <v>50000</v>
      </c>
      <c r="F28" s="16" t="n">
        <v>46192</v>
      </c>
      <c r="G28" s="17" t="n">
        <v>0.4166666666666667</v>
      </c>
      <c r="H28" s="17" t="n">
        <v>0.5</v>
      </c>
      <c r="I28" s="14" t="inlineStr">
        <is>
          <t>מאושרת</t>
        </is>
      </c>
      <c r="J28" s="14" t="inlineStr">
        <is>
          <t>כן</t>
        </is>
      </c>
      <c r="K28" s="18" t="inlineStr">
        <is>
          <t>3220N/03450E - 3230N/03450E - 3230N/03500E - 3220N/03500E</t>
        </is>
      </c>
    </row>
    <row r="29">
      <c r="A29" s="9" t="inlineStr">
        <is>
          <t>סגירת יזרעאל 21</t>
        </is>
      </c>
      <c r="B29" s="9" t="inlineStr">
        <is>
          <t>מטווח</t>
        </is>
      </c>
      <c r="C29" s="9" t="inlineStr">
        <is>
          <t>כחול</t>
        </is>
      </c>
      <c r="D29" s="10" t="n">
        <v>5000</v>
      </c>
      <c r="E29" s="10" t="n">
        <v>12000</v>
      </c>
      <c r="F29" s="11" t="n">
        <v>46193</v>
      </c>
      <c r="G29" s="12" t="n">
        <v>0.6666666666666666</v>
      </c>
      <c r="H29" s="12" t="n">
        <v>0.8333333333333334</v>
      </c>
      <c r="I29" s="9" t="inlineStr">
        <is>
          <t>מאושרת</t>
        </is>
      </c>
      <c r="J29" s="9" t="inlineStr">
        <is>
          <t>כן</t>
        </is>
      </c>
      <c r="K29" s="13" t="inlineStr">
        <is>
          <t>3110N/03430E - 3120N/03430E - 3120N/03440E - 3110N/03440E</t>
        </is>
      </c>
    </row>
    <row r="30">
      <c r="A30" s="14" t="inlineStr">
        <is>
          <t>סגירת תבור 14</t>
        </is>
      </c>
      <c r="B30" s="14" t="inlineStr">
        <is>
          <t>אזור עפרוני</t>
        </is>
      </c>
      <c r="C30" s="14" t="inlineStr">
        <is>
          <t>כתום</t>
        </is>
      </c>
      <c r="D30" s="15" t="n">
        <v>1500</v>
      </c>
      <c r="E30" s="15" t="n">
        <v>8000</v>
      </c>
      <c r="F30" s="16" t="n">
        <v>46190</v>
      </c>
      <c r="G30" s="17" t="n">
        <v>0.5416666666666666</v>
      </c>
      <c r="H30" s="17" t="n">
        <v>0.75</v>
      </c>
      <c r="I30" s="14" t="inlineStr">
        <is>
          <t>מאושרת</t>
        </is>
      </c>
      <c r="J30" s="14" t="inlineStr">
        <is>
          <t>לא</t>
        </is>
      </c>
      <c r="K30" s="18" t="inlineStr">
        <is>
          <t>3130N/03440E - 3140N/03440E - 3140N/03450E - 3130N/03450E</t>
        </is>
      </c>
    </row>
    <row r="31">
      <c r="A31" s="9" t="inlineStr">
        <is>
          <t>סגירת דבורה 58</t>
        </is>
      </c>
      <c r="B31" s="9" t="inlineStr">
        <is>
          <t>גלילי הצנחה</t>
        </is>
      </c>
      <c r="C31" s="9" t="inlineStr">
        <is>
          <t>סגול</t>
        </is>
      </c>
      <c r="D31" s="10" t="n">
        <v>2500</v>
      </c>
      <c r="E31" s="10" t="n">
        <v>12000</v>
      </c>
      <c r="F31" s="11" t="n">
        <v>46193</v>
      </c>
      <c r="G31" s="12" t="n">
        <v>0.4583333333333333</v>
      </c>
      <c r="H31" s="12" t="n">
        <v>0.625</v>
      </c>
      <c r="I31" s="9" t="inlineStr">
        <is>
          <t>בוטלה</t>
        </is>
      </c>
      <c r="J31" s="9" t="inlineStr">
        <is>
          <t>כן</t>
        </is>
      </c>
      <c r="K31" s="13" t="inlineStr">
        <is>
          <t>3200N/03450E - 3210N/03450E - 3210N/03500E - 3200N/03500E</t>
        </is>
      </c>
    </row>
    <row r="32">
      <c r="A32" s="14" t="inlineStr">
        <is>
          <t>סגירת חצבני 94</t>
        </is>
      </c>
      <c r="B32" s="14" t="inlineStr">
        <is>
          <t>כטמ''מ</t>
        </is>
      </c>
      <c r="C32" s="14" t="inlineStr">
        <is>
          <t>אדום</t>
        </is>
      </c>
      <c r="D32" s="15" t="n">
        <v>1500</v>
      </c>
      <c r="E32" s="15" t="n">
        <v>12000</v>
      </c>
      <c r="F32" s="16" t="n">
        <v>46188</v>
      </c>
      <c r="G32" s="17" t="n">
        <v>0.4583333333333333</v>
      </c>
      <c r="H32" s="17" t="n">
        <v>0.625</v>
      </c>
      <c r="I32" s="14" t="inlineStr">
        <is>
          <t>מתואמת</t>
        </is>
      </c>
      <c r="J32" s="14" t="inlineStr">
        <is>
          <t>כן</t>
        </is>
      </c>
      <c r="K32" s="18" t="inlineStr">
        <is>
          <t>3241N/03510E - 3250N/03510E - 3250N/03520E - 3241N/03520E</t>
        </is>
      </c>
    </row>
    <row r="33">
      <c r="A33" s="9" t="inlineStr">
        <is>
          <t>סגירת חרמון 54</t>
        </is>
      </c>
      <c r="B33" s="9" t="inlineStr">
        <is>
          <t>גלילי הצנחה</t>
        </is>
      </c>
      <c r="C33" s="9" t="inlineStr">
        <is>
          <t>צהוב</t>
        </is>
      </c>
      <c r="D33" s="10" t="n">
        <v>0</v>
      </c>
      <c r="E33" s="10" t="n">
        <v>29000</v>
      </c>
      <c r="F33" s="11" t="n">
        <v>46188</v>
      </c>
      <c r="G33" s="12" t="n">
        <v>0.5416666666666666</v>
      </c>
      <c r="H33" s="12" t="n">
        <v>0.6666666666666666</v>
      </c>
      <c r="I33" s="9" t="inlineStr">
        <is>
          <t>מאושרת</t>
        </is>
      </c>
      <c r="J33" s="9" t="inlineStr">
        <is>
          <t>כן</t>
        </is>
      </c>
      <c r="K33" s="13" t="inlineStr">
        <is>
          <t>3030N/03440E - 3040N/03440E - 3040N/03450E - 3030N/03450E</t>
        </is>
      </c>
    </row>
    <row r="34">
      <c r="A34" s="14" t="inlineStr">
        <is>
          <t>סגירת גולן 68</t>
        </is>
      </c>
      <c r="B34" s="14" t="inlineStr">
        <is>
          <t>כטמ''מ</t>
        </is>
      </c>
      <c r="C34" s="14" t="inlineStr">
        <is>
          <t>צהוב</t>
        </is>
      </c>
      <c r="D34" s="15" t="n">
        <v>5000</v>
      </c>
      <c r="E34" s="15" t="n">
        <v>21000</v>
      </c>
      <c r="F34" s="16" t="n">
        <v>46193</v>
      </c>
      <c r="G34" s="17" t="n">
        <v>0.25</v>
      </c>
      <c r="H34" s="17" t="n">
        <v>0.3333333333333333</v>
      </c>
      <c r="I34" s="14" t="inlineStr">
        <is>
          <t>ממתינה לאישור</t>
        </is>
      </c>
      <c r="J34" s="14" t="inlineStr">
        <is>
          <t>כן</t>
        </is>
      </c>
      <c r="K34" s="18" t="inlineStr">
        <is>
          <t>2940N/03450E - 2950N/03450E - 2950N/03500E - 2940N/03500E</t>
        </is>
      </c>
    </row>
    <row r="35">
      <c r="A35" s="9" t="inlineStr">
        <is>
          <t>סגירת בנטל 19</t>
        </is>
      </c>
      <c r="B35" s="9" t="inlineStr">
        <is>
          <t>כטמ''מ</t>
        </is>
      </c>
      <c r="C35" s="9" t="inlineStr">
        <is>
          <t>כתום</t>
        </is>
      </c>
      <c r="D35" s="10" t="n">
        <v>500</v>
      </c>
      <c r="E35" s="10" t="n">
        <v>12000</v>
      </c>
      <c r="F35" s="11" t="n">
        <v>46190</v>
      </c>
      <c r="G35" s="12" t="n">
        <v>0.5416666666666666</v>
      </c>
      <c r="H35" s="12" t="n">
        <v>0.625</v>
      </c>
      <c r="I35" s="9" t="inlineStr">
        <is>
          <t>מאושרת</t>
        </is>
      </c>
      <c r="J35" s="9" t="inlineStr">
        <is>
          <t>כן</t>
        </is>
      </c>
      <c r="K35" s="13" t="inlineStr">
        <is>
          <t>3150N/03432E - 3200N/03432E - 3200N/03440E - 3150N/03440E</t>
        </is>
      </c>
    </row>
    <row r="36">
      <c r="A36" s="14" t="inlineStr">
        <is>
          <t>סגירת אביטל 81</t>
        </is>
      </c>
      <c r="B36" s="14" t="inlineStr">
        <is>
          <t>אזור קרב- אימונים</t>
        </is>
      </c>
      <c r="C36" s="14" t="inlineStr">
        <is>
          <t>כחול</t>
        </is>
      </c>
      <c r="D36" s="15" t="n">
        <v>2500</v>
      </c>
      <c r="E36" s="15" t="n">
        <v>21000</v>
      </c>
      <c r="F36" s="16" t="n">
        <v>46189</v>
      </c>
      <c r="G36" s="17" t="n">
        <v>0.25</v>
      </c>
      <c r="H36" s="17" t="n">
        <v>0.5</v>
      </c>
      <c r="I36" s="14" t="inlineStr">
        <is>
          <t>מאושרת</t>
        </is>
      </c>
      <c r="J36" s="14" t="inlineStr">
        <is>
          <t>כן</t>
        </is>
      </c>
      <c r="K36" s="18" t="inlineStr">
        <is>
          <t>3220N/03450E - 3230N/03450E - 3230N/03500E - 3220N/03500E</t>
        </is>
      </c>
    </row>
    <row r="37">
      <c r="A37" s="9" t="inlineStr">
        <is>
          <t>סגירת חירם 28</t>
        </is>
      </c>
      <c r="B37" s="9" t="inlineStr">
        <is>
          <t>מטווח</t>
        </is>
      </c>
      <c r="C37" s="9" t="inlineStr">
        <is>
          <t>כחול</t>
        </is>
      </c>
      <c r="D37" s="10" t="n">
        <v>2500</v>
      </c>
      <c r="E37" s="10" t="n">
        <v>12000</v>
      </c>
      <c r="F37" s="11" t="n">
        <v>46191</v>
      </c>
      <c r="G37" s="12" t="n">
        <v>0.6666666666666666</v>
      </c>
      <c r="H37" s="12" t="n">
        <v>0.9166666666666666</v>
      </c>
      <c r="I37" s="9" t="inlineStr">
        <is>
          <t>מאושרת</t>
        </is>
      </c>
      <c r="J37" s="9" t="inlineStr">
        <is>
          <t>לא</t>
        </is>
      </c>
      <c r="K37" s="13" t="inlineStr">
        <is>
          <t>3112N/03430E - 3120N/03430E - 3120N/03440E - 3112N/03440E</t>
        </is>
      </c>
    </row>
    <row r="38">
      <c r="A38" s="14" t="inlineStr">
        <is>
          <t>סגירת מירון 18</t>
        </is>
      </c>
      <c r="B38" s="14" t="inlineStr">
        <is>
          <t>מטווח</t>
        </is>
      </c>
      <c r="C38" s="14" t="inlineStr">
        <is>
          <t>כתום</t>
        </is>
      </c>
      <c r="D38" s="15" t="n">
        <v>1500</v>
      </c>
      <c r="E38" s="15" t="n">
        <v>16000</v>
      </c>
      <c r="F38" s="16" t="n">
        <v>46190</v>
      </c>
      <c r="G38" s="17" t="n">
        <v>0.4583333333333333</v>
      </c>
      <c r="H38" s="17" t="n">
        <v>0.6666666666666666</v>
      </c>
      <c r="I38" s="14" t="inlineStr">
        <is>
          <t>מאושרת</t>
        </is>
      </c>
      <c r="J38" s="14" t="inlineStr">
        <is>
          <t>כן</t>
        </is>
      </c>
      <c r="K38" s="18" t="inlineStr">
        <is>
          <t>3130N/03440E - 3140N/03440E - 3140N/03450E - 3130N/03450E</t>
        </is>
      </c>
    </row>
    <row r="39">
      <c r="A39" s="9" t="inlineStr">
        <is>
          <t>סגירת כנרת 49</t>
        </is>
      </c>
      <c r="B39" s="9" t="inlineStr">
        <is>
          <t>מטווח</t>
        </is>
      </c>
      <c r="C39" s="9" t="inlineStr">
        <is>
          <t>כתום</t>
        </is>
      </c>
      <c r="D39" s="10" t="n">
        <v>500</v>
      </c>
      <c r="E39" s="10" t="n">
        <v>21000</v>
      </c>
      <c r="F39" s="11" t="n">
        <v>46191</v>
      </c>
      <c r="G39" s="12" t="n">
        <v>0.5416666666666666</v>
      </c>
      <c r="H39" s="12" t="n">
        <v>0.7916666666666666</v>
      </c>
      <c r="I39" s="9" t="inlineStr">
        <is>
          <t>מתואמת</t>
        </is>
      </c>
      <c r="J39" s="9" t="inlineStr">
        <is>
          <t>כן</t>
        </is>
      </c>
      <c r="K39" s="13" t="inlineStr">
        <is>
          <t>3200N/03450E - 3210N/03450E - 3210N/03500E - 3200N/03500E</t>
        </is>
      </c>
    </row>
    <row r="40">
      <c r="A40" s="14" t="inlineStr">
        <is>
          <t>סגירת ארבל 94</t>
        </is>
      </c>
      <c r="B40" s="14" t="inlineStr">
        <is>
          <t>אזור קרב- אימונים</t>
        </is>
      </c>
      <c r="C40" s="14" t="inlineStr">
        <is>
          <t>ירוק</t>
        </is>
      </c>
      <c r="D40" s="15" t="n">
        <v>500</v>
      </c>
      <c r="E40" s="15" t="n">
        <v>21000</v>
      </c>
      <c r="F40" s="16" t="n">
        <v>46188</v>
      </c>
      <c r="G40" s="17" t="n">
        <v>0.5416666666666666</v>
      </c>
      <c r="H40" s="17" t="n">
        <v>0.625</v>
      </c>
      <c r="I40" s="14" t="inlineStr">
        <is>
          <t>מאושרת</t>
        </is>
      </c>
      <c r="J40" s="14" t="inlineStr">
        <is>
          <t>לא</t>
        </is>
      </c>
      <c r="K40" s="18" t="inlineStr">
        <is>
          <t>3241N/03510E - 3250N/03510E - 3250N/03520E - 3241N/03520E</t>
        </is>
      </c>
    </row>
    <row r="41">
      <c r="A41" s="9" t="inlineStr">
        <is>
          <t>סגירת גלעד 30</t>
        </is>
      </c>
      <c r="B41" s="9" t="inlineStr">
        <is>
          <t>אזור קרב- לחימה</t>
        </is>
      </c>
      <c r="C41" s="9" t="inlineStr">
        <is>
          <t>אדום</t>
        </is>
      </c>
      <c r="D41" s="10" t="n">
        <v>1500</v>
      </c>
      <c r="E41" s="10" t="n">
        <v>29000</v>
      </c>
      <c r="F41" s="11" t="n">
        <v>46190</v>
      </c>
      <c r="G41" s="12" t="n">
        <v>0.25</v>
      </c>
      <c r="H41" s="12" t="n">
        <v>0.4583333333333333</v>
      </c>
      <c r="I41" s="9" t="inlineStr">
        <is>
          <t>מאושרת</t>
        </is>
      </c>
      <c r="J41" s="9" t="inlineStr">
        <is>
          <t>כן</t>
        </is>
      </c>
      <c r="K41" s="13" t="inlineStr">
        <is>
          <t>3030N/03440E - 3040N/03440E - 3040N/03450E - 3030N/03450E</t>
        </is>
      </c>
    </row>
    <row r="42">
      <c r="A42" s="14" t="inlineStr">
        <is>
          <t>סגירת שורק 33</t>
        </is>
      </c>
      <c r="B42" s="14" t="inlineStr">
        <is>
          <t>מטווח</t>
        </is>
      </c>
      <c r="C42" s="14" t="inlineStr">
        <is>
          <t>כתום</t>
        </is>
      </c>
      <c r="D42" s="15" t="n">
        <v>5000</v>
      </c>
      <c r="E42" s="15" t="n">
        <v>8000</v>
      </c>
      <c r="F42" s="16" t="n">
        <v>46193</v>
      </c>
      <c r="G42" s="17" t="n">
        <v>0.5</v>
      </c>
      <c r="H42" s="17" t="n">
        <v>0.5833333333333334</v>
      </c>
      <c r="I42" s="14" t="inlineStr">
        <is>
          <t>מאושרת</t>
        </is>
      </c>
      <c r="J42" s="14" t="inlineStr">
        <is>
          <t>כן</t>
        </is>
      </c>
      <c r="K42" s="18" t="inlineStr">
        <is>
          <t>2940N/03450E - 2950N/03450E - 2950N/03500E - 2940N/03500E</t>
        </is>
      </c>
    </row>
    <row r="43">
      <c r="A43" s="9" t="inlineStr">
        <is>
          <t>סגירת אילון 37</t>
        </is>
      </c>
      <c r="B43" s="9" t="inlineStr">
        <is>
          <t>אזור קרב- אימונים</t>
        </is>
      </c>
      <c r="C43" s="9" t="inlineStr">
        <is>
          <t>אדום</t>
        </is>
      </c>
      <c r="D43" s="10" t="n">
        <v>0</v>
      </c>
      <c r="E43" s="10" t="n">
        <v>16000</v>
      </c>
      <c r="F43" s="11" t="n">
        <v>46191</v>
      </c>
      <c r="G43" s="12" t="n">
        <v>0.5</v>
      </c>
      <c r="H43" s="12" t="n">
        <v>0.7083333333333334</v>
      </c>
      <c r="I43" s="9" t="inlineStr">
        <is>
          <t>בוטלה</t>
        </is>
      </c>
      <c r="J43" s="9" t="inlineStr">
        <is>
          <t>לא</t>
        </is>
      </c>
      <c r="K43" s="13" t="inlineStr">
        <is>
          <t>3150N/03432E - 3200N/03432E - 3200N/03440E - 3150N/03440E</t>
        </is>
      </c>
    </row>
    <row r="44">
      <c r="A44" s="14" t="inlineStr">
        <is>
          <t>סגירת יהודה 11</t>
        </is>
      </c>
      <c r="B44" s="14" t="inlineStr">
        <is>
          <t>אזור קרב- אימונים</t>
        </is>
      </c>
      <c r="C44" s="14" t="inlineStr">
        <is>
          <t>ירוק</t>
        </is>
      </c>
      <c r="D44" s="15" t="n">
        <v>1500</v>
      </c>
      <c r="E44" s="15" t="n">
        <v>8000</v>
      </c>
      <c r="F44" s="16" t="n">
        <v>46190</v>
      </c>
      <c r="G44" s="17" t="n">
        <v>0.625</v>
      </c>
      <c r="H44" s="17" t="n">
        <v>0.7083333333333334</v>
      </c>
      <c r="I44" s="14" t="inlineStr">
        <is>
          <t>מאושרת</t>
        </is>
      </c>
      <c r="J44" s="14" t="inlineStr">
        <is>
          <t>לא</t>
        </is>
      </c>
      <c r="K44" s="18" t="inlineStr">
        <is>
          <t>3220N/03450E - 3230N/03450E - 3230N/03500E - 3220N/03500E</t>
        </is>
      </c>
    </row>
  </sheetData>
  <mergeCells count="1">
    <mergeCell ref="A2:K2"/>
  </mergeCells>
  <dataValidations count="4">
    <dataValidation sqref="B5:B44" showDropDown="0" showInputMessage="0" showErrorMessage="0" allowBlank="1" type="list">
      <formula1>='הגדרות ומפתחות'!$A$2:$A$7</formula1>
    </dataValidation>
    <dataValidation sqref="I5:I44" showDropDown="0" showInputMessage="0" showErrorMessage="0" allowBlank="1" type="list">
      <formula1>='הגדרות ומפתחות'!$B$2:$B$5</formula1>
    </dataValidation>
    <dataValidation sqref="C5:C44" showDropDown="0" showInputMessage="0" showErrorMessage="0" allowBlank="1" type="list">
      <formula1>='הגדרות ומפתחות'!$C$2:$C$7</formula1>
    </dataValidation>
    <dataValidation sqref="J5:J44" showDropDown="0" showInputMessage="0" showErrorMessage="0" allowBlank="1" type="list">
      <formula1>='הגדרות ומפתחות'!$D$2:$D$3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rightToLeft="1" workbookViewId="0">
      <selection activeCell="A1" sqref="A1"/>
    </sheetView>
  </sheetViews>
  <sheetFormatPr baseColWidth="8" defaultRowHeight="15"/>
  <sheetData>
    <row r="1">
      <c r="A1" s="19" t="inlineStr">
        <is>
          <t>קטגוריות</t>
        </is>
      </c>
      <c r="B1" s="19" t="inlineStr">
        <is>
          <t>סטטוסים</t>
        </is>
      </c>
      <c r="C1" s="19" t="inlineStr">
        <is>
          <t>צבעים</t>
        </is>
      </c>
      <c r="D1" s="19" t="inlineStr">
        <is>
          <t>בשימוש</t>
        </is>
      </c>
    </row>
    <row r="2">
      <c r="A2" t="inlineStr">
        <is>
          <t>אזור קרב- אימונים</t>
        </is>
      </c>
      <c r="B2" t="inlineStr">
        <is>
          <t>מאושרת</t>
        </is>
      </c>
      <c r="C2" t="inlineStr">
        <is>
          <t>כחול</t>
        </is>
      </c>
      <c r="D2" t="inlineStr">
        <is>
          <t>כן</t>
        </is>
      </c>
    </row>
    <row r="3">
      <c r="A3" t="inlineStr">
        <is>
          <t>אזור קרב- לחימה</t>
        </is>
      </c>
      <c r="B3" t="inlineStr">
        <is>
          <t>מתואמת</t>
        </is>
      </c>
      <c r="C3" t="inlineStr">
        <is>
          <t>אדום</t>
        </is>
      </c>
      <c r="D3" t="inlineStr">
        <is>
          <t>לא</t>
        </is>
      </c>
    </row>
    <row r="4">
      <c r="A4" t="inlineStr">
        <is>
          <t>מטווח</t>
        </is>
      </c>
      <c r="B4" t="inlineStr">
        <is>
          <t>ממתינה לאישור</t>
        </is>
      </c>
      <c r="C4" t="inlineStr">
        <is>
          <t>צהוב</t>
        </is>
      </c>
      <c r="D4" t="inlineStr"/>
    </row>
    <row r="5">
      <c r="A5" t="inlineStr">
        <is>
          <t>אזור עפרוני</t>
        </is>
      </c>
      <c r="B5" t="inlineStr">
        <is>
          <t>בוטלה</t>
        </is>
      </c>
      <c r="C5" t="inlineStr">
        <is>
          <t>ירוק</t>
        </is>
      </c>
      <c r="D5" t="inlineStr"/>
    </row>
    <row r="6">
      <c r="A6" t="inlineStr">
        <is>
          <t>כטמ''מ</t>
        </is>
      </c>
      <c r="B6" t="inlineStr"/>
      <c r="C6" t="inlineStr">
        <is>
          <t>כתום</t>
        </is>
      </c>
      <c r="D6" t="inlineStr"/>
    </row>
    <row r="7">
      <c r="A7" t="inlineStr">
        <is>
          <t>גלילי הצנחה</t>
        </is>
      </c>
      <c r="B7" t="inlineStr"/>
      <c r="C7" t="inlineStr">
        <is>
          <t>סגול</t>
        </is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2026-06-14T06:30:21Z</dcterms:created>
  <dcterms:modified xmlns:dcterms="http://purl.org/dc/terms/" xmlns:xsi="http://www.w3.org/2001/XMLSchema-instance" xsi:type="dcterms:W3CDTF">2026-06-14T06:30:21Z</dcterms:modified>
</cp:coreProperties>
</file>